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My Drive\Projetos\VBA\RESERVA LOCALIZA\"/>
    </mc:Choice>
  </mc:AlternateContent>
  <bookViews>
    <workbookView xWindow="0" yWindow="0" windowWidth="28800" windowHeight="11700"/>
  </bookViews>
  <sheets>
    <sheet name="LOCALIZA" sheetId="1" r:id="rId1"/>
  </sheets>
  <externalReferences>
    <externalReference r:id="rId2"/>
  </externalReferences>
  <definedNames>
    <definedName name="_xlnm.Print_Area" localSheetId="0">LOCALIZA!$A$1:$E$24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1" l="1"/>
  <c r="C22" i="1"/>
  <c r="A17" i="1"/>
  <c r="C15" i="1"/>
  <c r="D4" i="1"/>
</calcChain>
</file>

<file path=xl/sharedStrings.xml><?xml version="1.0" encoding="utf-8"?>
<sst xmlns="http://schemas.openxmlformats.org/spreadsheetml/2006/main" count="58" uniqueCount="47">
  <si>
    <t>DADOS DA RESERVA</t>
  </si>
  <si>
    <t>CONDUTORES</t>
  </si>
  <si>
    <t>AGÊNCIAS</t>
  </si>
  <si>
    <t>DATA RETIRADA</t>
  </si>
  <si>
    <t>HORARIO</t>
  </si>
  <si>
    <t>AGÊNCIA</t>
  </si>
  <si>
    <t>C3</t>
  </si>
  <si>
    <t>Agencia Aeroporto Int Brasilia</t>
  </si>
  <si>
    <t>C6</t>
  </si>
  <si>
    <t>Aeroporto Galeao</t>
  </si>
  <si>
    <t>C9</t>
  </si>
  <si>
    <t>Agência Aeroporto Campo Grande</t>
  </si>
  <si>
    <t>DATA ENTREGA</t>
  </si>
  <si>
    <t>SELECIONE O CONDUTOR</t>
  </si>
  <si>
    <t>C8</t>
  </si>
  <si>
    <t>CPF</t>
  </si>
  <si>
    <t>NOME</t>
  </si>
  <si>
    <t>TELEFONE</t>
  </si>
  <si>
    <t>E-MAIL</t>
  </si>
  <si>
    <t>ROBSON</t>
  </si>
  <si>
    <t>96364-5630</t>
  </si>
  <si>
    <t>COMERCIAL3@will.COM.BR</t>
  </si>
  <si>
    <t>DANILO</t>
  </si>
  <si>
    <t>96364-7850</t>
  </si>
  <si>
    <t>COMERCIAL6@will.COM.BR</t>
  </si>
  <si>
    <t xml:space="preserve">LUIZ </t>
  </si>
  <si>
    <t>96364-9856</t>
  </si>
  <si>
    <t>COMERCIAL9@will.COM.BR</t>
  </si>
  <si>
    <t>DADOS DO CONDUTOR</t>
  </si>
  <si>
    <t>CLECIO</t>
  </si>
  <si>
    <t>supplychain@will.com.br</t>
  </si>
  <si>
    <t>NACIONALIDADE</t>
  </si>
  <si>
    <t>DOCUMENTO</t>
  </si>
  <si>
    <t>N° DOCUMENTO</t>
  </si>
  <si>
    <t>BRASIL</t>
  </si>
  <si>
    <t>NOME COND.</t>
  </si>
  <si>
    <t>EMAIL</t>
  </si>
  <si>
    <t>TELEFONE EMP.</t>
  </si>
  <si>
    <t>vendas@produtosbufalo.com.br</t>
  </si>
  <si>
    <t xml:space="preserve">4785-1959 </t>
  </si>
  <si>
    <t>CENTRO DE CUST.</t>
  </si>
  <si>
    <t>SETOR/EMP.</t>
  </si>
  <si>
    <t>Comercial</t>
  </si>
  <si>
    <t>Bufalo Ind. Com. Produtos Quimico LTDA</t>
  </si>
  <si>
    <t/>
  </si>
  <si>
    <t>AREA</t>
  </si>
  <si>
    <t>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</si>
</sst>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_-&quot;R$&quot;\ * #,##0.00_-;\-&quot;R$&quot;\ * #,##0.00_-;_-&quot;R$&quot;\ * &quot;-&quot;??_-;_-@_-"/>
    <numFmt numFmtId="166" formatCode="000\.000\.000\-00"/>
  </numFmts>
  <fonts count="12" x14ac:knownFonts="1">
    <font>
      <sz val="11"/>
      <color theme="1"/>
      <name val="Calibri"/>
      <family val="2"/>
      <scheme val="minor"/>
    </font>
    <font>
      <b/>
      <sz val="26"/>
      <color rgb="FFFFC00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4"/>
      <color rgb="FFFFC000"/>
      <name val="Calibri"/>
      <family val="2"/>
      <scheme val="minor"/>
    </font>
    <font>
      <sz val="14"/>
      <color theme="7" tint="0.7999816888943144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rgb="FFFFC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6"/>
      <color rgb="FFC80000"/>
      <name val="Calibri"/>
      <family val="2"/>
      <scheme val="minor"/>
    </font>
    <font>
      <b/>
      <sz val="16"/>
      <color theme="7" tint="0.7999816888943144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7A1804"/>
        <bgColor indexed="64"/>
      </patternFill>
    </fill>
    <fill>
      <patternFill patternType="solid">
        <fgColor rgb="FF0A0F03"/>
        <bgColor indexed="64"/>
      </patternFill>
    </fill>
    <fill>
      <patternFill patternType="solid">
        <fgColor rgb="FFFAE3CF"/>
        <bgColor indexed="64"/>
      </patternFill>
    </fill>
    <fill>
      <patternFill patternType="solid">
        <fgColor rgb="FFBB2233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4" xfId="0" applyFont="1" applyBorder="1"/>
    <xf numFmtId="0" fontId="3" fillId="3" borderId="4" xfId="0" applyFont="1" applyFill="1" applyBorder="1" applyAlignment="1">
      <alignment horizontal="center"/>
    </xf>
    <xf numFmtId="0" fontId="4" fillId="0" borderId="0" xfId="0" applyFont="1"/>
    <xf numFmtId="0" fontId="0" fillId="0" borderId="4" xfId="0" applyFill="1" applyBorder="1" applyAlignment="1">
      <alignment horizontal="center"/>
    </xf>
    <xf numFmtId="0" fontId="0" fillId="0" borderId="4" xfId="0" applyBorder="1"/>
    <xf numFmtId="14" fontId="5" fillId="0" borderId="4" xfId="0" applyNumberFormat="1" applyFont="1" applyBorder="1" applyAlignment="1">
      <alignment horizontal="center"/>
    </xf>
    <xf numFmtId="164" fontId="5" fillId="0" borderId="4" xfId="0" applyNumberFormat="1" applyFont="1" applyBorder="1" applyAlignment="1">
      <alignment horizontal="center"/>
    </xf>
    <xf numFmtId="165" fontId="4" fillId="0" borderId="0" xfId="0" applyNumberFormat="1" applyFont="1"/>
    <xf numFmtId="0" fontId="5" fillId="0" borderId="4" xfId="0" applyFont="1" applyBorder="1"/>
    <xf numFmtId="0" fontId="6" fillId="3" borderId="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8" fillId="0" borderId="0" xfId="0" applyFont="1"/>
    <xf numFmtId="0" fontId="9" fillId="0" borderId="4" xfId="1" applyFill="1" applyBorder="1" applyAlignment="1">
      <alignment horizontal="center"/>
    </xf>
    <xf numFmtId="0" fontId="0" fillId="0" borderId="4" xfId="0" quotePrefix="1" applyFill="1" applyBorder="1" applyAlignment="1">
      <alignment horizontal="center"/>
    </xf>
    <xf numFmtId="0" fontId="10" fillId="4" borderId="1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/>
    </xf>
    <xf numFmtId="166" fontId="5" fillId="0" borderId="4" xfId="0" applyNumberFormat="1" applyFont="1" applyBorder="1" applyAlignment="1">
      <alignment horizontal="center"/>
    </xf>
    <xf numFmtId="0" fontId="5" fillId="0" borderId="0" xfId="0" applyFont="1"/>
    <xf numFmtId="0" fontId="5" fillId="0" borderId="4" xfId="0" applyFont="1" applyBorder="1" applyAlignment="1">
      <alignment horizontal="center"/>
    </xf>
    <xf numFmtId="0" fontId="8" fillId="0" borderId="0" xfId="0" quotePrefix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1714500</xdr:colOff>
      <xdr:row>7</xdr:row>
      <xdr:rowOff>95250</xdr:rowOff>
    </xdr:from>
    <xdr:to>
      <xdr:col>3</xdr:col>
      <xdr:colOff>2177143</xdr:colOff>
      <xdr:row>10</xdr:row>
      <xdr:rowOff>108857</xdr:rowOff>
    </xdr:to>
    <xdr:sp macro="" textlink="">
      <xdr:nvSpPr>
        <xdr:cNvPr id="2" name="Seta: para Cima 1">
          <a:extLst>
            <a:ext uri="{FF2B5EF4-FFF2-40B4-BE49-F238E27FC236}">
              <a16:creationId xmlns:a16="http://schemas.microsoft.com/office/drawing/2014/main" id="{D9208212-B8FD-45D1-9740-227227BB2F36}"/>
            </a:ext>
          </a:extLst>
        </xdr:cNvPr>
        <xdr:cNvSpPr/>
      </xdr:nvSpPr>
      <xdr:spPr>
        <a:xfrm>
          <a:off x="8696325" y="2286000"/>
          <a:ext cx="462643" cy="642257"/>
        </a:xfrm>
        <a:prstGeom prst="upArrow">
          <a:avLst/>
        </a:prstGeom>
        <a:solidFill>
          <a:srgbClr val="BB2233"/>
        </a:solidFill>
        <a:ln w="38100">
          <a:solidFill>
            <a:srgbClr val="0A0F0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1295400</xdr:colOff>
      <xdr:row>7</xdr:row>
      <xdr:rowOff>70758</xdr:rowOff>
    </xdr:from>
    <xdr:to>
      <xdr:col>1</xdr:col>
      <xdr:colOff>1758043</xdr:colOff>
      <xdr:row>10</xdr:row>
      <xdr:rowOff>84365</xdr:rowOff>
    </xdr:to>
    <xdr:sp macro="" textlink="">
      <xdr:nvSpPr>
        <xdr:cNvPr id="3" name="Seta: para Cima 2">
          <a:extLst>
            <a:ext uri="{FF2B5EF4-FFF2-40B4-BE49-F238E27FC236}">
              <a16:creationId xmlns:a16="http://schemas.microsoft.com/office/drawing/2014/main" id="{F02347A0-4B57-4FDE-9D7E-BB56CED3E682}"/>
            </a:ext>
          </a:extLst>
        </xdr:cNvPr>
        <xdr:cNvSpPr/>
      </xdr:nvSpPr>
      <xdr:spPr>
        <a:xfrm>
          <a:off x="3505200" y="2261508"/>
          <a:ext cx="462643" cy="642257"/>
        </a:xfrm>
        <a:prstGeom prst="upArrow">
          <a:avLst/>
        </a:prstGeom>
        <a:solidFill>
          <a:srgbClr val="BB2233"/>
        </a:solidFill>
        <a:ln w="38100">
          <a:solidFill>
            <a:srgbClr val="0A0F0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753836</xdr:colOff>
      <xdr:row>7</xdr:row>
      <xdr:rowOff>87086</xdr:rowOff>
    </xdr:from>
    <xdr:to>
      <xdr:col>0</xdr:col>
      <xdr:colOff>1216479</xdr:colOff>
      <xdr:row>10</xdr:row>
      <xdr:rowOff>100693</xdr:rowOff>
    </xdr:to>
    <xdr:sp macro="" textlink="">
      <xdr:nvSpPr>
        <xdr:cNvPr id="4" name="Seta: para Cima 3">
          <a:extLst>
            <a:ext uri="{FF2B5EF4-FFF2-40B4-BE49-F238E27FC236}">
              <a16:creationId xmlns:a16="http://schemas.microsoft.com/office/drawing/2014/main" id="{5E91C8FC-B431-46A4-8CA1-E8445DCB3189}"/>
            </a:ext>
          </a:extLst>
        </xdr:cNvPr>
        <xdr:cNvSpPr/>
      </xdr:nvSpPr>
      <xdr:spPr>
        <a:xfrm>
          <a:off x="753836" y="2277836"/>
          <a:ext cx="462643" cy="642257"/>
        </a:xfrm>
        <a:prstGeom prst="upArrow">
          <a:avLst/>
        </a:prstGeom>
        <a:solidFill>
          <a:srgbClr val="BB2233"/>
        </a:solidFill>
        <a:ln w="38100">
          <a:solidFill>
            <a:srgbClr val="0A0F0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2224767</xdr:colOff>
      <xdr:row>2</xdr:row>
      <xdr:rowOff>129268</xdr:rowOff>
    </xdr:from>
    <xdr:to>
      <xdr:col>1</xdr:col>
      <xdr:colOff>2809874</xdr:colOff>
      <xdr:row>4</xdr:row>
      <xdr:rowOff>102054</xdr:rowOff>
    </xdr:to>
    <xdr:sp macro="" textlink="">
      <xdr:nvSpPr>
        <xdr:cNvPr id="5" name="Seta: para Cima 5">
          <a:extLst>
            <a:ext uri="{FF2B5EF4-FFF2-40B4-BE49-F238E27FC236}">
              <a16:creationId xmlns:a16="http://schemas.microsoft.com/office/drawing/2014/main" id="{FB0E2C81-0A0B-4DBB-BB6D-D99798E2C120}"/>
            </a:ext>
          </a:extLst>
        </xdr:cNvPr>
        <xdr:cNvSpPr/>
      </xdr:nvSpPr>
      <xdr:spPr>
        <a:xfrm rot="16200000">
          <a:off x="4502603" y="908957"/>
          <a:ext cx="449036" cy="585107"/>
        </a:xfrm>
        <a:prstGeom prst="upArrow">
          <a:avLst/>
        </a:prstGeom>
        <a:solidFill>
          <a:srgbClr val="BB2233"/>
        </a:solidFill>
        <a:ln w="38100">
          <a:solidFill>
            <a:srgbClr val="0A0F0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1789339</xdr:colOff>
      <xdr:row>2</xdr:row>
      <xdr:rowOff>142875</xdr:rowOff>
    </xdr:from>
    <xdr:to>
      <xdr:col>1</xdr:col>
      <xdr:colOff>170089</xdr:colOff>
      <xdr:row>4</xdr:row>
      <xdr:rowOff>115661</xdr:rowOff>
    </xdr:to>
    <xdr:sp macro="" textlink="">
      <xdr:nvSpPr>
        <xdr:cNvPr id="6" name="Seta: para Cima 6">
          <a:extLst>
            <a:ext uri="{FF2B5EF4-FFF2-40B4-BE49-F238E27FC236}">
              <a16:creationId xmlns:a16="http://schemas.microsoft.com/office/drawing/2014/main" id="{D5CC5484-5D2A-4152-A705-7E44A78FD26C}"/>
            </a:ext>
          </a:extLst>
        </xdr:cNvPr>
        <xdr:cNvSpPr/>
      </xdr:nvSpPr>
      <xdr:spPr>
        <a:xfrm rot="16200000">
          <a:off x="1860096" y="919843"/>
          <a:ext cx="449036" cy="590550"/>
        </a:xfrm>
        <a:prstGeom prst="upArrow">
          <a:avLst/>
        </a:prstGeom>
        <a:solidFill>
          <a:srgbClr val="BB2233"/>
        </a:solidFill>
        <a:ln w="38100">
          <a:solidFill>
            <a:srgbClr val="0A0F0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8</xdr:col>
      <xdr:colOff>27213</xdr:colOff>
      <xdr:row>12</xdr:row>
      <xdr:rowOff>136071</xdr:rowOff>
    </xdr:from>
    <xdr:to>
      <xdr:col>9</xdr:col>
      <xdr:colOff>1660071</xdr:colOff>
      <xdr:row>29</xdr:row>
      <xdr:rowOff>120435</xdr:rowOff>
    </xdr:to>
    <xdr:pic macro="[1]!ReservaLocaliza.ReservaLocaliza">
      <xdr:nvPicPr>
        <xdr:cNvPr id="7" name="Imagem 7" descr="Localiza - Aluguel de Carros – Apps no Google Play">
          <a:extLst>
            <a:ext uri="{FF2B5EF4-FFF2-40B4-BE49-F238E27FC236}">
              <a16:creationId xmlns:a16="http://schemas.microsoft.com/office/drawing/2014/main" id="{F6355EA6-BD5C-456D-8710-BD3C06323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7363" y="3593646"/>
          <a:ext cx="3747408" cy="3756264"/>
        </a:xfrm>
        <a:prstGeom prst="rect">
          <a:avLst/>
        </a:prstGeom>
        <a:noFill/>
        <a:ln w="38100">
          <a:solidFill>
            <a:srgbClr val="92D05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rive/Projetos/VBA/1.%20Bases%20criadas%20no%20trabalho/AUTOMATIZA&#199;&#213;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MANAGER"/>
      <sheetName val="MATRIZ"/>
      <sheetName val="RAIO-X"/>
      <sheetName val="P. ABERTOS"/>
      <sheetName val="TXT E IMPRESSÃO"/>
      <sheetName val="CQ REPORTS"/>
      <sheetName val="COMISSÕES"/>
      <sheetName val="PROMOTORES"/>
      <sheetName val="MERCHAN"/>
      <sheetName val="VERB. REDE"/>
      <sheetName val="C.C"/>
      <sheetName val="LOCALIZAR DOC"/>
      <sheetName val="PEDIDOS"/>
      <sheetName val="LOCALIZA"/>
      <sheetName val="REUNIÃO"/>
    </sheetNames>
    <definedNames>
      <definedName name="ReservaLocaliza.ReservaLocaliza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COMERCIAL9@will.COM.BR" TargetMode="External"/><Relationship Id="rId2" Type="http://schemas.openxmlformats.org/officeDocument/2006/relationships/hyperlink" Target="mailto:COMERCIAL6@will.COM.BR" TargetMode="External"/><Relationship Id="rId1" Type="http://schemas.openxmlformats.org/officeDocument/2006/relationships/hyperlink" Target="mailto:COMERCIAL3@will.COM.BR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supplychain@will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>
    <tabColor rgb="FF7A1804"/>
  </sheetPr>
  <dimension ref="A1:O22"/>
  <sheetViews>
    <sheetView showGridLines="0" tabSelected="1" view="pageBreakPreview" zoomScale="70" zoomScaleNormal="100" zoomScaleSheetLayoutView="70" workbookViewId="0">
      <selection activeCell="L12" sqref="L12"/>
    </sheetView>
  </sheetViews>
  <sheetFormatPr defaultRowHeight="15" x14ac:dyDescent="0.25"/>
  <cols>
    <col min="1" max="1" width="33.140625" bestFit="1" customWidth="1"/>
    <col min="2" max="2" width="47.5703125" bestFit="1" customWidth="1"/>
    <col min="3" max="3" width="24" customWidth="1"/>
    <col min="4" max="4" width="51.28515625" bestFit="1" customWidth="1"/>
    <col min="6" max="6" width="6" customWidth="1"/>
    <col min="9" max="10" width="31.7109375" bestFit="1" customWidth="1"/>
    <col min="11" max="11" width="27.42578125" customWidth="1"/>
    <col min="12" max="12" width="13.42578125" bestFit="1" customWidth="1"/>
    <col min="13" max="13" width="39.5703125" bestFit="1" customWidth="1"/>
  </cols>
  <sheetData>
    <row r="1" spans="1:15" ht="47.25" customHeight="1" thickBot="1" x14ac:dyDescent="0.3">
      <c r="A1" s="1" t="s">
        <v>0</v>
      </c>
      <c r="B1" s="2"/>
      <c r="C1" s="2"/>
      <c r="D1" s="2"/>
      <c r="E1" s="2"/>
      <c r="F1" s="2"/>
      <c r="G1" s="3"/>
    </row>
    <row r="2" spans="1:15" ht="19.5" x14ac:dyDescent="0.3">
      <c r="I2" s="4" t="s">
        <v>1</v>
      </c>
      <c r="J2" s="5" t="s">
        <v>2</v>
      </c>
    </row>
    <row r="3" spans="1:15" ht="18.75" x14ac:dyDescent="0.3">
      <c r="A3" s="6" t="s">
        <v>3</v>
      </c>
      <c r="B3" s="6" t="s">
        <v>4</v>
      </c>
      <c r="C3" s="7"/>
      <c r="D3" s="6" t="s">
        <v>5</v>
      </c>
      <c r="I3" s="8" t="s">
        <v>6</v>
      </c>
      <c r="J3" s="9" t="s">
        <v>7</v>
      </c>
    </row>
    <row r="4" spans="1:15" ht="18.75" x14ac:dyDescent="0.3">
      <c r="A4" s="10">
        <v>45461</v>
      </c>
      <c r="B4" s="11">
        <v>0.55208333333333337</v>
      </c>
      <c r="C4" s="12"/>
      <c r="D4" s="13" t="str">
        <f>VLOOKUP(D7,I3:J6,2,FALSE)</f>
        <v>Agencia Aeroporto Int Brasilia</v>
      </c>
      <c r="I4" s="8" t="s">
        <v>8</v>
      </c>
      <c r="J4" s="9" t="s">
        <v>9</v>
      </c>
    </row>
    <row r="5" spans="1:15" ht="18.75" x14ac:dyDescent="0.3">
      <c r="A5" s="7"/>
      <c r="B5" s="7"/>
      <c r="C5" s="12"/>
      <c r="D5" s="7"/>
      <c r="I5" s="8" t="s">
        <v>10</v>
      </c>
      <c r="J5" s="9" t="s">
        <v>11</v>
      </c>
    </row>
    <row r="6" spans="1:15" ht="26.25" x14ac:dyDescent="0.4">
      <c r="A6" s="6" t="s">
        <v>12</v>
      </c>
      <c r="B6" s="6" t="s">
        <v>4</v>
      </c>
      <c r="C6" s="12"/>
      <c r="D6" s="14" t="s">
        <v>13</v>
      </c>
      <c r="E6" s="15"/>
      <c r="I6" s="8" t="s">
        <v>14</v>
      </c>
      <c r="J6" s="9" t="s">
        <v>7</v>
      </c>
    </row>
    <row r="7" spans="1:15" ht="23.25" x14ac:dyDescent="0.35">
      <c r="A7" s="10">
        <v>45463</v>
      </c>
      <c r="B7" s="11">
        <v>0.63888888888888895</v>
      </c>
      <c r="C7" s="7"/>
      <c r="D7" s="16" t="s">
        <v>14</v>
      </c>
      <c r="E7" s="16"/>
    </row>
    <row r="8" spans="1:15" ht="19.5" x14ac:dyDescent="0.3">
      <c r="A8" s="17"/>
      <c r="B8" s="17"/>
      <c r="C8" s="17"/>
      <c r="I8" s="4" t="s">
        <v>1</v>
      </c>
      <c r="J8" s="4" t="s">
        <v>15</v>
      </c>
      <c r="K8" s="4" t="s">
        <v>16</v>
      </c>
      <c r="L8" s="4" t="s">
        <v>17</v>
      </c>
      <c r="M8" s="4" t="s">
        <v>18</v>
      </c>
      <c r="N8" s="4"/>
      <c r="O8" s="4"/>
    </row>
    <row r="9" spans="1:15" x14ac:dyDescent="0.25">
      <c r="A9" s="17"/>
      <c r="B9" s="17"/>
      <c r="C9" s="17"/>
      <c r="I9" s="8" t="s">
        <v>6</v>
      </c>
      <c r="J9" s="8">
        <v>6546516984</v>
      </c>
      <c r="K9" s="8" t="s">
        <v>19</v>
      </c>
      <c r="L9" s="8" t="s">
        <v>20</v>
      </c>
      <c r="M9" s="18" t="s">
        <v>21</v>
      </c>
      <c r="N9" s="8"/>
      <c r="O9" s="8"/>
    </row>
    <row r="10" spans="1:15" x14ac:dyDescent="0.25">
      <c r="A10" s="17"/>
      <c r="B10" s="17"/>
      <c r="C10" s="17"/>
      <c r="I10" s="8" t="s">
        <v>8</v>
      </c>
      <c r="J10" s="8">
        <v>9451434</v>
      </c>
      <c r="K10" s="8" t="s">
        <v>22</v>
      </c>
      <c r="L10" s="8" t="s">
        <v>23</v>
      </c>
      <c r="M10" s="18" t="s">
        <v>24</v>
      </c>
      <c r="N10" s="8"/>
      <c r="O10" s="8"/>
    </row>
    <row r="11" spans="1:15" ht="15.75" thickBot="1" x14ac:dyDescent="0.3">
      <c r="I11" s="8" t="s">
        <v>10</v>
      </c>
      <c r="J11" s="19">
        <v>9454164164</v>
      </c>
      <c r="K11" s="8" t="s">
        <v>25</v>
      </c>
      <c r="L11" s="8" t="s">
        <v>26</v>
      </c>
      <c r="M11" s="18" t="s">
        <v>27</v>
      </c>
      <c r="N11" s="8"/>
      <c r="O11" s="8"/>
    </row>
    <row r="12" spans="1:15" ht="34.5" thickBot="1" x14ac:dyDescent="0.3">
      <c r="A12" s="20" t="s">
        <v>28</v>
      </c>
      <c r="B12" s="21"/>
      <c r="C12" s="21"/>
      <c r="D12" s="21"/>
      <c r="E12" s="21"/>
      <c r="F12" s="21"/>
      <c r="G12" s="22"/>
      <c r="I12" s="8" t="s">
        <v>14</v>
      </c>
      <c r="J12" s="19">
        <v>456565984</v>
      </c>
      <c r="K12" s="8" t="s">
        <v>29</v>
      </c>
      <c r="L12" s="8">
        <v>96364000125</v>
      </c>
      <c r="M12" s="18" t="s">
        <v>30</v>
      </c>
      <c r="N12" s="8"/>
      <c r="O12" s="8"/>
    </row>
    <row r="14" spans="1:15" ht="21" x14ac:dyDescent="0.35">
      <c r="A14" s="23" t="s">
        <v>31</v>
      </c>
      <c r="B14" s="23" t="s">
        <v>32</v>
      </c>
      <c r="C14" s="23" t="s">
        <v>33</v>
      </c>
    </row>
    <row r="15" spans="1:15" ht="21" customHeight="1" x14ac:dyDescent="0.3">
      <c r="A15" s="13" t="s">
        <v>34</v>
      </c>
      <c r="B15" s="13" t="s">
        <v>15</v>
      </c>
      <c r="C15" s="24">
        <f>VLOOKUP(D7,I9:O12,2,FALSE)</f>
        <v>456565984</v>
      </c>
      <c r="D15" s="25"/>
    </row>
    <row r="16" spans="1:15" ht="21" customHeight="1" x14ac:dyDescent="0.35">
      <c r="A16" s="23" t="s">
        <v>35</v>
      </c>
      <c r="B16" s="23" t="s">
        <v>36</v>
      </c>
      <c r="C16" s="23" t="s">
        <v>37</v>
      </c>
      <c r="D16" s="25"/>
    </row>
    <row r="17" spans="1:4" ht="19.5" customHeight="1" x14ac:dyDescent="0.3">
      <c r="A17" s="13" t="str">
        <f>VLOOKUP(D7,I9:O12,3,FALSE)</f>
        <v>CLECIO</v>
      </c>
      <c r="B17" s="13" t="s">
        <v>38</v>
      </c>
      <c r="C17" s="26" t="s">
        <v>39</v>
      </c>
    </row>
    <row r="18" spans="1:4" ht="21" x14ac:dyDescent="0.35">
      <c r="A18" s="23" t="s">
        <v>40</v>
      </c>
      <c r="B18" s="23" t="s">
        <v>41</v>
      </c>
    </row>
    <row r="19" spans="1:4" ht="18.75" x14ac:dyDescent="0.3">
      <c r="A19" s="13" t="s">
        <v>42</v>
      </c>
      <c r="B19" s="13" t="s">
        <v>43</v>
      </c>
      <c r="C19" s="27" t="s">
        <v>44</v>
      </c>
      <c r="D19" s="17"/>
    </row>
    <row r="20" spans="1:4" x14ac:dyDescent="0.25">
      <c r="A20" s="17"/>
      <c r="B20" s="17"/>
      <c r="C20" s="17"/>
    </row>
    <row r="21" spans="1:4" ht="21" x14ac:dyDescent="0.35">
      <c r="A21" s="23" t="s">
        <v>45</v>
      </c>
      <c r="B21" s="23" t="s">
        <v>46</v>
      </c>
      <c r="C21" s="23" t="s">
        <v>17</v>
      </c>
      <c r="D21" s="23" t="s">
        <v>36</v>
      </c>
    </row>
    <row r="22" spans="1:4" ht="18.75" x14ac:dyDescent="0.3">
      <c r="A22" s="26">
        <v>55</v>
      </c>
      <c r="B22" s="26">
        <v>11</v>
      </c>
      <c r="C22" s="26">
        <f>VLOOKUP(D7,I9:O12,4,FALSE)</f>
        <v>96364000125</v>
      </c>
      <c r="D22" s="26" t="str">
        <f>VLOOKUP(D7,I9:O12,5,FALSE)</f>
        <v>supplychain@will.com.br</v>
      </c>
    </row>
  </sheetData>
  <mergeCells count="4">
    <mergeCell ref="A1:G1"/>
    <mergeCell ref="D6:E6"/>
    <mergeCell ref="D7:E7"/>
    <mergeCell ref="A12:G12"/>
  </mergeCells>
  <dataValidations count="5">
    <dataValidation type="list" allowBlank="1" showInputMessage="1" showErrorMessage="1" sqref="D7:E7">
      <formula1>$I$9:$I$18</formula1>
    </dataValidation>
    <dataValidation type="list" allowBlank="1" showInputMessage="1" showErrorMessage="1" sqref="D4">
      <formula1>$J$3:$J$6</formula1>
    </dataValidation>
    <dataValidation type="time" operator="notEqual" allowBlank="1" showInputMessage="1" showErrorMessage="1" sqref="B7">
      <formula1>0</formula1>
    </dataValidation>
    <dataValidation type="date" operator="greaterThan" allowBlank="1" showInputMessage="1" showErrorMessage="1" promptTitle="ALERTA" prompt="DATA DEVE SER MAIOR DO QUE A RETIRADA_x000a_" sqref="A7">
      <formula1>A4</formula1>
    </dataValidation>
    <dataValidation type="date" operator="greaterThan" allowBlank="1" showInputMessage="1" showErrorMessage="1" promptTitle="ALERTA" prompt="Data Deve ser Maior do que hoje_x000a_" sqref="A4">
      <formula1>TODAY()-1</formula1>
    </dataValidation>
  </dataValidations>
  <hyperlinks>
    <hyperlink ref="M9" r:id="rId1"/>
    <hyperlink ref="M10" r:id="rId2"/>
    <hyperlink ref="M11" r:id="rId3"/>
    <hyperlink ref="M12" r:id="rId4"/>
  </hyperlinks>
  <pageMargins left="0.511811024" right="0.511811024" top="0.78740157499999996" bottom="0.78740157499999996" header="0.31496062000000002" footer="0.31496062000000002"/>
  <pageSetup paperSize="9" scale="54" orientation="portrait" r:id="rId5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LOCALIZA</vt:lpstr>
      <vt:lpstr>LOCALIZA!Print_Area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</dc:creator>
  <cp:lastModifiedBy>WILLIAM</cp:lastModifiedBy>
  <dcterms:created xsi:type="dcterms:W3CDTF">2024-05-25T12:55:36Z</dcterms:created>
  <dcterms:modified xsi:type="dcterms:W3CDTF">2024-05-25T12:59:30Z</dcterms:modified>
</cp:coreProperties>
</file>